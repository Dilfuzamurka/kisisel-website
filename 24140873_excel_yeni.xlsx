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working\waccache\VI5PEPF000007D0\EXCELCNV\87023d99-4d9c-401c-a52f-ac2348e1b3e2\"/>
    </mc:Choice>
  </mc:AlternateContent>
  <xr:revisionPtr revIDLastSave="0" documentId="8_{AEF1E2FD-0561-43AE-9C13-FDE9A4E0706D}" xr6:coauthVersionLast="47" xr6:coauthVersionMax="47" xr10:uidLastSave="{00000000-0000-0000-0000-000000000000}"/>
  <bookViews>
    <workbookView xWindow="-60" yWindow="-60" windowWidth="15480" windowHeight="11640" firstSheet="1" activeTab="1" xr2:uid="{31C106C1-34DC-468B-ADF4-1CFE081AC7F5}"/>
  </bookViews>
  <sheets>
    <sheet name="Göç bilgisi" sheetId="3" r:id="rId1"/>
    <sheet name="Özet" sheetId="4" r:id="rId2"/>
  </sheets>
  <definedNames>
    <definedName name="_xlnm.Print_Area" localSheetId="0">'Göç bilgisi'!$A$2:$F$88</definedName>
    <definedName name="_xlnm.Print_Titles" localSheetId="0">'Göç bilgisi'!$2:$2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1" i="4"/>
  <c r="F4" i="3"/>
  <c r="E3" i="3"/>
  <c r="F3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</calcChain>
</file>

<file path=xl/sharedStrings.xml><?xml version="1.0" encoding="utf-8"?>
<sst xmlns="http://schemas.openxmlformats.org/spreadsheetml/2006/main" count="94" uniqueCount="94">
  <si>
    <t>2024 yılına ait göç bilgisi</t>
  </si>
  <si>
    <r>
      <t xml:space="preserve">İl
</t>
    </r>
    <r>
      <rPr>
        <sz val="11"/>
        <color theme="0"/>
        <rFont val="Arial"/>
      </rPr>
      <t>Province</t>
    </r>
  </si>
  <si>
    <r>
      <t xml:space="preserve">Toplam nüfus
</t>
    </r>
    <r>
      <rPr>
        <sz val="11"/>
        <color theme="0"/>
        <rFont val="Arial"/>
        <family val="2"/>
        <charset val="162"/>
      </rPr>
      <t>Total population</t>
    </r>
  </si>
  <si>
    <r>
      <t xml:space="preserve">Aldığı göç
</t>
    </r>
    <r>
      <rPr>
        <sz val="11"/>
        <color theme="0"/>
        <rFont val="Arial"/>
        <family val="2"/>
        <charset val="162"/>
      </rPr>
      <t>In-migration</t>
    </r>
  </si>
  <si>
    <r>
      <t xml:space="preserve">Verdiği göç
</t>
    </r>
    <r>
      <rPr>
        <sz val="11"/>
        <color theme="0"/>
        <rFont val="Arial"/>
        <family val="2"/>
        <charset val="162"/>
      </rPr>
      <t>Out-migration</t>
    </r>
  </si>
  <si>
    <r>
      <t xml:space="preserve">Net göç
</t>
    </r>
    <r>
      <rPr>
        <sz val="11"/>
        <color theme="0"/>
        <rFont val="Arial"/>
        <family val="2"/>
        <charset val="162"/>
      </rPr>
      <t>Net migration</t>
    </r>
  </si>
  <si>
    <r>
      <t xml:space="preserve">Net göç hızı
</t>
    </r>
    <r>
      <rPr>
        <sz val="11"/>
        <color theme="0"/>
        <rFont val="Arial"/>
        <family val="2"/>
        <charset val="162"/>
      </rPr>
      <t>Rate of net migration</t>
    </r>
    <r>
      <rPr>
        <b/>
        <sz val="11"/>
        <color theme="0"/>
        <rFont val="Arial"/>
        <family val="2"/>
        <charset val="162"/>
      </rPr>
      <t xml:space="preserve">
</t>
    </r>
    <r>
      <rPr>
        <sz val="11"/>
        <color theme="0"/>
        <rFont val="Arial"/>
        <family val="2"/>
        <charset val="162"/>
      </rPr>
      <t>(‰)</t>
    </r>
  </si>
  <si>
    <r>
      <rPr>
        <b/>
        <sz val="11"/>
        <color rgb="FF000000"/>
        <rFont val="Arial"/>
        <family val="2"/>
        <charset val="162"/>
      </rPr>
      <t>Toplam</t>
    </r>
    <r>
      <rPr>
        <sz val="11"/>
        <color rgb="FF000000"/>
        <rFont val="Arial"/>
        <family val="2"/>
        <charset val="162"/>
      </rPr>
      <t>-Total</t>
    </r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</si>
  <si>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</si>
  <si>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</si>
  <si>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</si>
  <si>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</si>
  <si>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</si>
  <si>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</si>
  <si>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</si>
  <si>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</si>
  <si>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</si>
  <si>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</si>
  <si>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</si>
  <si>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</si>
  <si>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</si>
  <si>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</si>
  <si>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</si>
  <si>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</si>
  <si>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</si>
  <si>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</si>
  <si>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</si>
  <si>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</si>
  <si>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</si>
  <si>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</si>
  <si>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</si>
  <si>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</si>
  <si>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</si>
  <si>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</si>
  <si>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</si>
  <si>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</si>
  <si>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</si>
  <si>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</si>
  <si>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</si>
  <si>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</si>
  <si>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</si>
  <si>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</si>
  <si>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</si>
  <si>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</si>
  <si>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</si>
  <si>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</si>
  <si>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</si>
  <si>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</si>
  <si>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</si>
  <si>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</si>
  <si>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</si>
  <si>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</si>
  <si>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</si>
  <si>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</si>
  <si>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</si>
  <si>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</si>
  <si>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</si>
  <si>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</si>
  <si>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</si>
  <si>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</si>
  <si>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</si>
  <si>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</si>
  <si>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</si>
  <si>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</si>
  <si>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</si>
  <si>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</si>
  <si>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</si>
  <si>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</si>
  <si>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</si>
  <si>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</si>
  <si>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</si>
  <si>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</si>
  <si>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</si>
  <si>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</si>
  <si>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</si>
  <si>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</si>
  <si>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</si>
  <si>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</si>
  <si>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</si>
  <si>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</si>
  <si>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</si>
  <si>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</si>
  <si>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</si>
  <si>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</si>
  <si>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</si>
  <si>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</si>
  <si>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</si>
  <si>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</si>
  <si>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</si>
  <si>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Toplam Nüfus</t>
  </si>
  <si>
    <t>Toplam Verilen Göç</t>
  </si>
  <si>
    <t>Toplam Alınan Göç</t>
  </si>
  <si>
    <t>Ortalama Alınan Göç</t>
  </si>
  <si>
    <t>Ortalama Verilen Göç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</si>
</sst>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\ ###\ ###"/>
    <numFmt numFmtId="165" formatCode="0.0"/>
    <numFmt numFmtId="166" formatCode="###\ ###\ ###"/>
  </numFmts>
  <fonts count="15">
    <font>
      <sz val="11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sz val="10"/>
      <name val="Helv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0"/>
      <name val="Arial"/>
    </font>
    <font>
      <sz val="11"/>
      <color theme="0"/>
      <name val="Arial"/>
    </font>
    <font>
      <b/>
      <sz val="11"/>
      <color theme="0"/>
      <name val="Arial"/>
      <family val="2"/>
      <charset val="162"/>
    </font>
    <font>
      <sz val="11"/>
      <color theme="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4"/>
      <color theme="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3">
    <xf numFmtId="0" fontId="0" fillId="0" borderId="0"/>
    <xf numFmtId="0" fontId="4" fillId="0" borderId="0"/>
    <xf numFmtId="0" fontId="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26">
    <xf numFmtId="0" fontId="0" fillId="0" borderId="0" xfId="0"/>
    <xf numFmtId="164" fontId="1" fillId="0" borderId="0" xfId="11" applyNumberFormat="1" applyFont="1" applyFill="1" applyBorder="1" applyAlignment="1" applyProtection="1">
      <alignment horizontal="right"/>
    </xf>
    <xf numFmtId="165" fontId="1" fillId="0" borderId="0" xfId="12" applyNumberFormat="1" applyFont="1" applyFill="1" applyBorder="1" applyAlignment="1">
      <alignment horizontal="right"/>
    </xf>
    <xf numFmtId="164" fontId="1" fillId="0" borderId="0" xfId="12" applyNumberFormat="1" applyFont="1" applyFill="1" applyBorder="1" applyAlignment="1">
      <alignment horizontal="right"/>
    </xf>
    <xf numFmtId="0" fontId="5" fillId="0" borderId="0" xfId="8" applyFont="1" applyFill="1" applyBorder="1" applyAlignment="1">
      <alignment horizontal="left"/>
    </xf>
    <xf numFmtId="0" fontId="6" fillId="0" borderId="0" xfId="8" applyFont="1" applyFill="1" applyBorder="1" applyAlignment="1">
      <alignment horizontal="left"/>
    </xf>
    <xf numFmtId="0" fontId="1" fillId="0" borderId="0" xfId="0" applyFont="1" applyFill="1" applyBorder="1" applyAlignment="1"/>
    <xf numFmtId="0" fontId="5" fillId="0" borderId="0" xfId="1" quotePrefix="1" applyFont="1" applyFill="1" applyAlignment="1">
      <alignment horizontal="left"/>
    </xf>
    <xf numFmtId="166" fontId="6" fillId="0" borderId="0" xfId="1" quotePrefix="1" applyNumberFormat="1" applyFont="1" applyFill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10" fillId="0" borderId="0" xfId="12" applyFont="1" applyFill="1" applyBorder="1" applyAlignment="1">
      <alignment horizontal="right" wrapText="1"/>
    </xf>
    <xf numFmtId="0" fontId="10" fillId="0" borderId="0" xfId="12" applyFont="1" applyFill="1" applyBorder="1" applyAlignment="1" applyProtection="1">
      <alignment horizontal="right" wrapText="1"/>
    </xf>
    <xf numFmtId="0" fontId="12" fillId="0" borderId="0" xfId="0" applyFont="1" applyFill="1" applyBorder="1" applyAlignment="1">
      <alignment wrapText="1"/>
    </xf>
    <xf numFmtId="164" fontId="13" fillId="0" borderId="0" xfId="11" applyNumberFormat="1" applyFont="1" applyFill="1" applyBorder="1" applyAlignment="1" applyProtection="1">
      <alignment horizontal="right"/>
    </xf>
    <xf numFmtId="3" fontId="13" fillId="0" borderId="0" xfId="11" applyNumberFormat="1" applyFont="1" applyFill="1" applyBorder="1" applyAlignment="1">
      <alignment horizontal="right"/>
    </xf>
    <xf numFmtId="164" fontId="12" fillId="0" borderId="0" xfId="11" applyNumberFormat="1" applyFont="1" applyFill="1" applyBorder="1" applyAlignment="1" applyProtection="1">
      <alignment horizontal="right"/>
    </xf>
    <xf numFmtId="164" fontId="12" fillId="0" borderId="0" xfId="12" applyNumberFormat="1" applyFont="1" applyFill="1" applyBorder="1" applyAlignment="1" applyProtection="1">
      <alignment horizontal="right"/>
    </xf>
    <xf numFmtId="164" fontId="12" fillId="0" borderId="0" xfId="12" applyNumberFormat="1" applyFont="1" applyFill="1" applyBorder="1" applyAlignment="1">
      <alignment horizontal="right"/>
    </xf>
    <xf numFmtId="2" fontId="13" fillId="0" borderId="0" xfId="11" applyNumberFormat="1" applyFont="1" applyFill="1" applyBorder="1" applyAlignment="1">
      <alignment horizontal="right"/>
    </xf>
    <xf numFmtId="2" fontId="12" fillId="0" borderId="0" xfId="11" applyNumberFormat="1" applyFont="1" applyFill="1" applyBorder="1" applyAlignment="1">
      <alignment horizontal="right"/>
    </xf>
    <xf numFmtId="3" fontId="12" fillId="0" borderId="0" xfId="11" applyNumberFormat="1" applyFont="1" applyFill="1" applyBorder="1" applyAlignment="1" applyProtection="1">
      <alignment horizontal="right"/>
    </xf>
    <xf numFmtId="0" fontId="12" fillId="3" borderId="1" xfId="0" applyFont="1" applyFill="1" applyBorder="1" applyAlignment="1">
      <alignment wrapText="1"/>
    </xf>
    <xf numFmtId="164" fontId="12" fillId="3" borderId="2" xfId="11" applyNumberFormat="1" applyFont="1" applyFill="1" applyBorder="1" applyAlignment="1">
      <alignment horizontal="right"/>
    </xf>
    <xf numFmtId="0" fontId="12" fillId="4" borderId="1" xfId="0" applyFont="1" applyFill="1" applyBorder="1" applyAlignment="1">
      <alignment wrapText="1"/>
    </xf>
    <xf numFmtId="164" fontId="12" fillId="4" borderId="2" xfId="11" applyNumberFormat="1" applyFont="1" applyFill="1" applyBorder="1" applyAlignment="1">
      <alignment horizontal="right"/>
    </xf>
    <xf numFmtId="0" fontId="14" fillId="2" borderId="3" xfId="0" applyFont="1" applyFill="1" applyBorder="1" applyAlignment="1">
      <alignment horizontal="center" vertical="center" wrapText="1"/>
    </xf>
  </cellXfs>
  <cellStyles count="13">
    <cellStyle name="Normal" xfId="0" builtinId="0"/>
    <cellStyle name="Normal 10" xfId="1" xr:uid="{F71BFB8B-A19B-458B-A394-F6B1F4DD18E0}"/>
    <cellStyle name="Normal 104" xfId="2" xr:uid="{5C6270EB-410D-42F2-BA3A-D11DD5F9B020}"/>
    <cellStyle name="Normal 106" xfId="3" xr:uid="{03AE0821-50FC-4351-BFD4-1FC1800DD267}"/>
    <cellStyle name="Normal 13" xfId="4" xr:uid="{02FB1B89-B9B9-487B-A7CD-993861BACCB6}"/>
    <cellStyle name="Normal 15" xfId="5" xr:uid="{494818D1-D586-4580-A6B2-C87CAE8B7158}"/>
    <cellStyle name="Normal 16" xfId="6" xr:uid="{DC118141-9526-4EFC-A00C-254C35F255B0}"/>
    <cellStyle name="Normal 17" xfId="7" xr:uid="{BF46607C-DE46-4B73-B6A0-1E9A3C58D8DA}"/>
    <cellStyle name="Normal 2 2 2" xfId="8" xr:uid="{A87B285E-E949-4880-BF2F-118E36F61BC3}"/>
    <cellStyle name="Normal 3" xfId="9" xr:uid="{B1739B47-4D58-4A78-9322-8F478FCFE19C}"/>
    <cellStyle name="Normal 9" xfId="10" xr:uid="{7A11B679-F9C3-4804-ACE2-15837517987F}"/>
    <cellStyle name="Normal_XII-12A_Ulashaber-12" xfId="11" xr:uid="{7F608DC3-B4E9-4551-BF36-468DBC7A80AA}"/>
    <cellStyle name="Normal_XII-12B_Ulashaber-12" xfId="12" xr:uid="{2E69E06D-A1BB-4EF0-94DD-25365EF1DBE8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64" formatCode="##\ ###\ #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64" formatCode="##\ ###\ #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64" formatCode="##\ ###\ ###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BD545-6E90-4D3E-A015-8420B18A63AA}" name="Tablo3" displayName="Tablo3" ref="A2:F84" totalsRowShown="0" headerRowDxfId="8" dataDxfId="7" tableBorderDxfId="6" headerRowCellStyle="Normal_XII-12B_Ulashaber-12" dataCellStyle="Normal_XII-12B_Ulashaber-12">
  <autoFilter ref="A2:F84" xr:uid="{6A8BD545-6E90-4D3E-A015-8420B18A63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556A67C-08C7-4ACF-8085-3F1CB02046EB}" name="İl_x000a_Province" dataDxfId="5"/>
    <tableColumn id="2" xr3:uid="{1E5A65FE-6495-4061-8C99-605627A4D0DD}" name="Toplam nüfus_x000a_Total population" dataDxfId="4" dataCellStyle="Normal_XII-12B_Ulashaber-12"/>
    <tableColumn id="3" xr3:uid="{DE64D2C6-5387-4B1F-A6EC-88D99637D346}" name="Aldığı göç_x000a_In-migration" dataDxfId="3" dataCellStyle="Normal_XII-12B_Ulashaber-12"/>
    <tableColumn id="4" xr3:uid="{D8C299B5-309D-4F8D-92F9-44B43CC76F9F}" name="Verdiği göç_x000a_Out-migration" dataDxfId="2" dataCellStyle="Normal_XII-12B_Ulashaber-12"/>
    <tableColumn id="5" xr3:uid="{BF52E71C-F427-49EE-9413-25CDEB76AED7}" name="Net göç_x000a_Net migration" dataDxfId="1" dataCellStyle="Normal_XII-12A_Ulashaber-12">
      <calculatedColumnFormula>C3-D3</calculatedColumnFormula>
    </tableColumn>
    <tableColumn id="6" xr3:uid="{DDDE1C3C-0BB2-4958-AEE1-A2E5C3FAA59C}" name="Net göç hızı_x000a_Rate of net migration_x000a_(‰)" dataDxfId="0" dataCellStyle="Normal_XII-12A_Ulashaber-12">
      <calculatedColumnFormula>(E3/B3)*1000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6DCC-B9AD-473A-B165-41161683E070}">
  <dimension ref="A1:F88"/>
  <sheetViews>
    <sheetView showGridLines="0" topLeftCell="A56" zoomScaleNormal="100" workbookViewId="0">
      <selection activeCell="I15" sqref="I15"/>
    </sheetView>
  </sheetViews>
  <sheetFormatPr defaultRowHeight="18" customHeight="1"/>
  <cols>
    <col min="1" max="1" width="19.5703125" style="6" customWidth="1"/>
    <col min="2" max="2" width="20.140625" style="6" customWidth="1"/>
    <col min="3" max="3" width="19.42578125" style="6" customWidth="1"/>
    <col min="4" max="4" width="19" style="6" customWidth="1"/>
    <col min="5" max="5" width="18.85546875" style="6" customWidth="1"/>
    <col min="6" max="6" width="21.85546875" style="6" customWidth="1"/>
    <col min="7" max="256" width="11.42578125" style="6" customWidth="1"/>
    <col min="257" max="16384" width="9.140625" style="6"/>
  </cols>
  <sheetData>
    <row r="1" spans="1:6" ht="36.75" customHeight="1">
      <c r="A1" s="25" t="s">
        <v>0</v>
      </c>
      <c r="B1" s="25"/>
      <c r="C1" s="25"/>
      <c r="D1" s="25"/>
      <c r="E1" s="25"/>
      <c r="F1" s="25"/>
    </row>
    <row r="2" spans="1:6" ht="55.5" customHeight="1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</row>
    <row r="3" spans="1:6" ht="15.95" customHeight="1">
      <c r="A3" s="12" t="s">
        <v>7</v>
      </c>
      <c r="B3" s="13">
        <v>85664944</v>
      </c>
      <c r="C3" s="13">
        <v>2682673</v>
      </c>
      <c r="D3" s="13">
        <v>2682673</v>
      </c>
      <c r="E3" s="14">
        <f>C3-D3</f>
        <v>0</v>
      </c>
      <c r="F3" s="18">
        <f>(E3/B3)*1000</f>
        <v>0</v>
      </c>
    </row>
    <row r="4" spans="1:6" ht="15.95" customHeight="1">
      <c r="A4" s="12" t="s">
        <v>8</v>
      </c>
      <c r="B4" s="15">
        <v>2280484</v>
      </c>
      <c r="C4" s="15">
        <v>55342</v>
      </c>
      <c r="D4" s="15">
        <v>56108</v>
      </c>
      <c r="E4" s="20">
        <f>C4-D4</f>
        <v>-766</v>
      </c>
      <c r="F4" s="19">
        <f>(E4/B4)*1000</f>
        <v>-0.33589360854976402</v>
      </c>
    </row>
    <row r="5" spans="1:6" ht="15.95" customHeight="1">
      <c r="A5" s="12" t="s">
        <v>9</v>
      </c>
      <c r="B5" s="15">
        <v>611037</v>
      </c>
      <c r="C5" s="15">
        <v>22295</v>
      </c>
      <c r="D5" s="15">
        <v>21158</v>
      </c>
      <c r="E5" s="20">
        <f t="shared" ref="E5:E68" si="0">C5-D5</f>
        <v>1137</v>
      </c>
      <c r="F5" s="19">
        <f t="shared" ref="F5:F68" si="1">(E5/B5)*1000</f>
        <v>1.8607711153334414</v>
      </c>
    </row>
    <row r="6" spans="1:6" ht="15.95" customHeight="1">
      <c r="A6" s="12" t="s">
        <v>10</v>
      </c>
      <c r="B6" s="15">
        <v>750193</v>
      </c>
      <c r="C6" s="15">
        <v>20801</v>
      </c>
      <c r="D6" s="15">
        <v>25035</v>
      </c>
      <c r="E6" s="20">
        <f t="shared" si="0"/>
        <v>-4234</v>
      </c>
      <c r="F6" s="19">
        <f t="shared" si="1"/>
        <v>-5.6438809746291954</v>
      </c>
    </row>
    <row r="7" spans="1:6" ht="15.95" customHeight="1">
      <c r="A7" s="12" t="s">
        <v>11</v>
      </c>
      <c r="B7" s="15">
        <v>499801</v>
      </c>
      <c r="C7" s="15">
        <v>14411</v>
      </c>
      <c r="D7" s="15">
        <v>30970</v>
      </c>
      <c r="E7" s="20">
        <f t="shared" si="0"/>
        <v>-16559</v>
      </c>
      <c r="F7" s="19">
        <f t="shared" si="1"/>
        <v>-33.131186212112418</v>
      </c>
    </row>
    <row r="8" spans="1:6" ht="15.95" customHeight="1">
      <c r="A8" s="12" t="s">
        <v>12</v>
      </c>
      <c r="B8" s="15">
        <v>342378</v>
      </c>
      <c r="C8" s="15">
        <v>13879</v>
      </c>
      <c r="D8" s="15">
        <v>14446</v>
      </c>
      <c r="E8" s="20">
        <f t="shared" si="0"/>
        <v>-567</v>
      </c>
      <c r="F8" s="19">
        <f t="shared" si="1"/>
        <v>-1.656064349929026</v>
      </c>
    </row>
    <row r="9" spans="1:6" ht="15.95" customHeight="1">
      <c r="A9" s="12" t="s">
        <v>13</v>
      </c>
      <c r="B9" s="15">
        <v>5864049</v>
      </c>
      <c r="C9" s="15">
        <v>202402</v>
      </c>
      <c r="D9" s="15">
        <v>150373</v>
      </c>
      <c r="E9" s="20">
        <f t="shared" si="0"/>
        <v>52029</v>
      </c>
      <c r="F9" s="19">
        <f t="shared" si="1"/>
        <v>8.872538411599221</v>
      </c>
    </row>
    <row r="10" spans="1:6" ht="15.95" customHeight="1">
      <c r="A10" s="12" t="s">
        <v>14</v>
      </c>
      <c r="B10" s="15">
        <v>2722103</v>
      </c>
      <c r="C10" s="15">
        <v>96618</v>
      </c>
      <c r="D10" s="15">
        <v>71999</v>
      </c>
      <c r="E10" s="20">
        <f t="shared" si="0"/>
        <v>24619</v>
      </c>
      <c r="F10" s="19">
        <f t="shared" si="1"/>
        <v>9.0441103808342298</v>
      </c>
    </row>
    <row r="11" spans="1:6" ht="15.95" customHeight="1">
      <c r="A11" s="12" t="s">
        <v>15</v>
      </c>
      <c r="B11" s="15">
        <v>169280</v>
      </c>
      <c r="C11" s="15">
        <v>7670</v>
      </c>
      <c r="D11" s="15">
        <v>10400</v>
      </c>
      <c r="E11" s="20">
        <f t="shared" si="0"/>
        <v>-2730</v>
      </c>
      <c r="F11" s="19">
        <f t="shared" si="1"/>
        <v>-16.127126654064273</v>
      </c>
    </row>
    <row r="12" spans="1:6" ht="15.95" customHeight="1">
      <c r="A12" s="12" t="s">
        <v>16</v>
      </c>
      <c r="B12" s="15">
        <v>1165943</v>
      </c>
      <c r="C12" s="15">
        <v>40849</v>
      </c>
      <c r="D12" s="15">
        <v>35832</v>
      </c>
      <c r="E12" s="20">
        <f t="shared" si="0"/>
        <v>5017</v>
      </c>
      <c r="F12" s="19">
        <f t="shared" si="1"/>
        <v>4.3029547756622755</v>
      </c>
    </row>
    <row r="13" spans="1:6" ht="15.95" customHeight="1">
      <c r="A13" s="12" t="s">
        <v>17</v>
      </c>
      <c r="B13" s="15">
        <v>1276096</v>
      </c>
      <c r="C13" s="15">
        <v>44834</v>
      </c>
      <c r="D13" s="15">
        <v>40371</v>
      </c>
      <c r="E13" s="20">
        <f t="shared" si="0"/>
        <v>4463</v>
      </c>
      <c r="F13" s="19">
        <f t="shared" si="1"/>
        <v>3.4973857766186871</v>
      </c>
    </row>
    <row r="14" spans="1:6" ht="15.95" customHeight="1">
      <c r="A14" s="12" t="s">
        <v>18</v>
      </c>
      <c r="B14" s="15">
        <v>228495</v>
      </c>
      <c r="C14" s="15">
        <v>10023</v>
      </c>
      <c r="D14" s="15">
        <v>10038</v>
      </c>
      <c r="E14" s="20">
        <f t="shared" si="0"/>
        <v>-15</v>
      </c>
      <c r="F14" s="19">
        <f t="shared" si="1"/>
        <v>-6.5646950699140019E-2</v>
      </c>
    </row>
    <row r="15" spans="1:6" ht="15.95" customHeight="1">
      <c r="A15" s="12" t="s">
        <v>19</v>
      </c>
      <c r="B15" s="15">
        <v>283276</v>
      </c>
      <c r="C15" s="15">
        <v>10029</v>
      </c>
      <c r="D15" s="15">
        <v>13794</v>
      </c>
      <c r="E15" s="20">
        <f t="shared" si="0"/>
        <v>-3765</v>
      </c>
      <c r="F15" s="19">
        <f t="shared" si="1"/>
        <v>-13.290924751832135</v>
      </c>
    </row>
    <row r="16" spans="1:6" ht="15.95" customHeight="1">
      <c r="A16" s="12" t="s">
        <v>20</v>
      </c>
      <c r="B16" s="15">
        <v>359808</v>
      </c>
      <c r="C16" s="15">
        <v>13700</v>
      </c>
      <c r="D16" s="15">
        <v>18195</v>
      </c>
      <c r="E16" s="20">
        <f t="shared" si="0"/>
        <v>-4495</v>
      </c>
      <c r="F16" s="19">
        <f t="shared" si="1"/>
        <v>-12.492773923870509</v>
      </c>
    </row>
    <row r="17" spans="1:6" ht="15.95" customHeight="1">
      <c r="A17" s="12" t="s">
        <v>21</v>
      </c>
      <c r="B17" s="15">
        <v>326409</v>
      </c>
      <c r="C17" s="15">
        <v>13869</v>
      </c>
      <c r="D17" s="15">
        <v>13362</v>
      </c>
      <c r="E17" s="20">
        <f t="shared" si="0"/>
        <v>507</v>
      </c>
      <c r="F17" s="19">
        <f t="shared" si="1"/>
        <v>1.5532659945038281</v>
      </c>
    </row>
    <row r="18" spans="1:6" ht="15.95" customHeight="1">
      <c r="A18" s="12" t="s">
        <v>22</v>
      </c>
      <c r="B18" s="15">
        <v>275826</v>
      </c>
      <c r="C18" s="15">
        <v>11746</v>
      </c>
      <c r="D18" s="15">
        <v>13550</v>
      </c>
      <c r="E18" s="20">
        <f t="shared" si="0"/>
        <v>-1804</v>
      </c>
      <c r="F18" s="19">
        <f t="shared" si="1"/>
        <v>-6.5403551514360503</v>
      </c>
    </row>
    <row r="19" spans="1:6" ht="15.95" customHeight="1">
      <c r="A19" s="12" t="s">
        <v>23</v>
      </c>
      <c r="B19" s="15">
        <v>3238618</v>
      </c>
      <c r="C19" s="15">
        <v>81656</v>
      </c>
      <c r="D19" s="15">
        <v>66440</v>
      </c>
      <c r="E19" s="20">
        <f t="shared" si="0"/>
        <v>15216</v>
      </c>
      <c r="F19" s="19">
        <f t="shared" si="1"/>
        <v>4.6983003243976293</v>
      </c>
    </row>
    <row r="20" spans="1:6" ht="15.95" customHeight="1">
      <c r="A20" s="12" t="s">
        <v>24</v>
      </c>
      <c r="B20" s="15">
        <v>568966</v>
      </c>
      <c r="C20" s="15">
        <v>24714</v>
      </c>
      <c r="D20" s="15">
        <v>21211</v>
      </c>
      <c r="E20" s="20">
        <f t="shared" si="0"/>
        <v>3503</v>
      </c>
      <c r="F20" s="19">
        <f t="shared" si="1"/>
        <v>6.1567826548510807</v>
      </c>
    </row>
    <row r="21" spans="1:6" ht="15.95" customHeight="1">
      <c r="A21" s="12" t="s">
        <v>25</v>
      </c>
      <c r="B21" s="15">
        <v>199981</v>
      </c>
      <c r="C21" s="15">
        <v>13129</v>
      </c>
      <c r="D21" s="15">
        <v>18744</v>
      </c>
      <c r="E21" s="20">
        <f t="shared" si="0"/>
        <v>-5615</v>
      </c>
      <c r="F21" s="19">
        <f t="shared" si="1"/>
        <v>-28.077667378400946</v>
      </c>
    </row>
    <row r="22" spans="1:6" ht="15.95" customHeight="1">
      <c r="A22" s="12" t="s">
        <v>26</v>
      </c>
      <c r="B22" s="15">
        <v>521335</v>
      </c>
      <c r="C22" s="15">
        <v>16415</v>
      </c>
      <c r="D22" s="15">
        <v>23143</v>
      </c>
      <c r="E22" s="20">
        <f t="shared" si="0"/>
        <v>-6728</v>
      </c>
      <c r="F22" s="19">
        <f t="shared" si="1"/>
        <v>-12.905329586542242</v>
      </c>
    </row>
    <row r="23" spans="1:6" ht="15.95" customHeight="1">
      <c r="A23" s="12" t="s">
        <v>27</v>
      </c>
      <c r="B23" s="15">
        <v>1061371</v>
      </c>
      <c r="C23" s="15">
        <v>25866</v>
      </c>
      <c r="D23" s="15">
        <v>24816</v>
      </c>
      <c r="E23" s="20">
        <f t="shared" si="0"/>
        <v>1050</v>
      </c>
      <c r="F23" s="19">
        <f t="shared" si="1"/>
        <v>0.98928649831208892</v>
      </c>
    </row>
    <row r="24" spans="1:6" ht="15.95" customHeight="1">
      <c r="A24" s="12" t="s">
        <v>28</v>
      </c>
      <c r="B24" s="15">
        <v>1833684</v>
      </c>
      <c r="C24" s="15">
        <v>43561</v>
      </c>
      <c r="D24" s="15">
        <v>50981</v>
      </c>
      <c r="E24" s="20">
        <f t="shared" si="0"/>
        <v>-7420</v>
      </c>
      <c r="F24" s="19">
        <f t="shared" si="1"/>
        <v>-4.0464987424223589</v>
      </c>
    </row>
    <row r="25" spans="1:6" ht="15.95" customHeight="1">
      <c r="A25" s="12" t="s">
        <v>29</v>
      </c>
      <c r="B25" s="15">
        <v>421247</v>
      </c>
      <c r="C25" s="15">
        <v>17332</v>
      </c>
      <c r="D25" s="15">
        <v>16323</v>
      </c>
      <c r="E25" s="20">
        <f t="shared" si="0"/>
        <v>1009</v>
      </c>
      <c r="F25" s="19">
        <f t="shared" si="1"/>
        <v>2.3952692838168583</v>
      </c>
    </row>
    <row r="26" spans="1:6" ht="15.95" customHeight="1">
      <c r="A26" s="12" t="s">
        <v>30</v>
      </c>
      <c r="B26" s="15">
        <v>603941</v>
      </c>
      <c r="C26" s="15">
        <v>20035</v>
      </c>
      <c r="D26" s="15">
        <v>23315</v>
      </c>
      <c r="E26" s="20">
        <f t="shared" si="0"/>
        <v>-3280</v>
      </c>
      <c r="F26" s="19">
        <f t="shared" si="1"/>
        <v>-5.4309940871707667</v>
      </c>
    </row>
    <row r="27" spans="1:6" ht="15.95" customHeight="1">
      <c r="A27" s="12" t="s">
        <v>31</v>
      </c>
      <c r="B27" s="15">
        <v>241239</v>
      </c>
      <c r="C27" s="15">
        <v>12737</v>
      </c>
      <c r="D27" s="15">
        <v>15638</v>
      </c>
      <c r="E27" s="20">
        <f t="shared" si="0"/>
        <v>-2901</v>
      </c>
      <c r="F27" s="19">
        <f t="shared" si="1"/>
        <v>-12.025418775571113</v>
      </c>
    </row>
    <row r="28" spans="1:6" ht="15.95" customHeight="1">
      <c r="A28" s="12" t="s">
        <v>32</v>
      </c>
      <c r="B28" s="15">
        <v>745005</v>
      </c>
      <c r="C28" s="15">
        <v>22614</v>
      </c>
      <c r="D28" s="15">
        <v>34522</v>
      </c>
      <c r="E28" s="20">
        <f t="shared" si="0"/>
        <v>-11908</v>
      </c>
      <c r="F28" s="19">
        <f t="shared" si="1"/>
        <v>-15.983785343722527</v>
      </c>
    </row>
    <row r="29" spans="1:6" ht="15.95" customHeight="1">
      <c r="A29" s="12" t="s">
        <v>33</v>
      </c>
      <c r="B29" s="15">
        <v>921630</v>
      </c>
      <c r="C29" s="15">
        <v>35984</v>
      </c>
      <c r="D29" s="15">
        <v>29165</v>
      </c>
      <c r="E29" s="20">
        <f t="shared" si="0"/>
        <v>6819</v>
      </c>
      <c r="F29" s="19">
        <f t="shared" si="1"/>
        <v>7.3988476937599685</v>
      </c>
    </row>
    <row r="30" spans="1:6" ht="15.95" customHeight="1">
      <c r="A30" s="12" t="s">
        <v>34</v>
      </c>
      <c r="B30" s="15">
        <v>2193363</v>
      </c>
      <c r="C30" s="15">
        <v>56097</v>
      </c>
      <c r="D30" s="15">
        <v>49330</v>
      </c>
      <c r="E30" s="20">
        <f t="shared" si="0"/>
        <v>6767</v>
      </c>
      <c r="F30" s="19">
        <f t="shared" si="1"/>
        <v>3.0852166285288849</v>
      </c>
    </row>
    <row r="31" spans="1:6" ht="15.95" customHeight="1">
      <c r="A31" s="12" t="s">
        <v>35</v>
      </c>
      <c r="B31" s="15">
        <v>455922</v>
      </c>
      <c r="C31" s="15">
        <v>17348</v>
      </c>
      <c r="D31" s="15">
        <v>22932</v>
      </c>
      <c r="E31" s="20">
        <f t="shared" si="0"/>
        <v>-5584</v>
      </c>
      <c r="F31" s="19">
        <f t="shared" si="1"/>
        <v>-12.247709037949473</v>
      </c>
    </row>
    <row r="32" spans="1:6" ht="15.95" customHeight="1">
      <c r="A32" s="12" t="s">
        <v>36</v>
      </c>
      <c r="B32" s="16">
        <v>142617</v>
      </c>
      <c r="C32" s="16">
        <v>12288</v>
      </c>
      <c r="D32" s="15">
        <v>18526</v>
      </c>
      <c r="E32" s="20">
        <f t="shared" si="0"/>
        <v>-6238</v>
      </c>
      <c r="F32" s="19">
        <f t="shared" si="1"/>
        <v>-43.739526143447137</v>
      </c>
    </row>
    <row r="33" spans="1:6" ht="15.95" customHeight="1">
      <c r="A33" s="12" t="s">
        <v>37</v>
      </c>
      <c r="B33" s="16">
        <v>282191</v>
      </c>
      <c r="C33" s="16">
        <v>8478</v>
      </c>
      <c r="D33" s="15">
        <v>14112</v>
      </c>
      <c r="E33" s="20">
        <f t="shared" si="0"/>
        <v>-5634</v>
      </c>
      <c r="F33" s="19">
        <f t="shared" si="1"/>
        <v>-19.965200874584944</v>
      </c>
    </row>
    <row r="34" spans="1:6" ht="15.95" customHeight="1">
      <c r="A34" s="12" t="s">
        <v>38</v>
      </c>
      <c r="B34" s="16">
        <v>1562185</v>
      </c>
      <c r="C34" s="16">
        <v>52193</v>
      </c>
      <c r="D34" s="15">
        <v>49835</v>
      </c>
      <c r="E34" s="20">
        <f t="shared" si="0"/>
        <v>2358</v>
      </c>
      <c r="F34" s="19">
        <f t="shared" si="1"/>
        <v>1.5094242999388676</v>
      </c>
    </row>
    <row r="35" spans="1:6" ht="15.95" customHeight="1">
      <c r="A35" s="12" t="s">
        <v>39</v>
      </c>
      <c r="B35" s="16">
        <v>446409</v>
      </c>
      <c r="C35" s="16">
        <v>18046</v>
      </c>
      <c r="D35" s="15">
        <v>19526</v>
      </c>
      <c r="E35" s="20">
        <f t="shared" si="0"/>
        <v>-1480</v>
      </c>
      <c r="F35" s="19">
        <f t="shared" si="1"/>
        <v>-3.3153453447399133</v>
      </c>
    </row>
    <row r="36" spans="1:6" ht="15.95" customHeight="1">
      <c r="A36" s="12" t="s">
        <v>40</v>
      </c>
      <c r="B36" s="16">
        <v>1954279</v>
      </c>
      <c r="C36" s="16">
        <v>60574</v>
      </c>
      <c r="D36" s="15">
        <v>54703</v>
      </c>
      <c r="E36" s="20">
        <f t="shared" si="0"/>
        <v>5871</v>
      </c>
      <c r="F36" s="19">
        <f t="shared" si="1"/>
        <v>3.0041769880349736</v>
      </c>
    </row>
    <row r="37" spans="1:6" ht="15.95" customHeight="1">
      <c r="A37" s="12" t="s">
        <v>41</v>
      </c>
      <c r="B37" s="16">
        <v>15701602</v>
      </c>
      <c r="C37" s="16">
        <v>395485</v>
      </c>
      <c r="D37" s="15">
        <v>369453</v>
      </c>
      <c r="E37" s="20">
        <f t="shared" si="0"/>
        <v>26032</v>
      </c>
      <c r="F37" s="19">
        <f t="shared" si="1"/>
        <v>1.6579200007744432</v>
      </c>
    </row>
    <row r="38" spans="1:6" ht="15.95" customHeight="1">
      <c r="A38" s="12" t="s">
        <v>42</v>
      </c>
      <c r="B38" s="16">
        <v>4493242</v>
      </c>
      <c r="C38" s="16">
        <v>117889</v>
      </c>
      <c r="D38" s="15">
        <v>102040</v>
      </c>
      <c r="E38" s="20">
        <f t="shared" si="0"/>
        <v>15849</v>
      </c>
      <c r="F38" s="19">
        <f t="shared" si="1"/>
        <v>3.5272972165754708</v>
      </c>
    </row>
    <row r="39" spans="1:6" ht="15.95" customHeight="1">
      <c r="A39" s="12" t="s">
        <v>43</v>
      </c>
      <c r="B39" s="16">
        <v>272300</v>
      </c>
      <c r="C39" s="16">
        <v>9588</v>
      </c>
      <c r="D39" s="15">
        <v>16560</v>
      </c>
      <c r="E39" s="20">
        <f t="shared" si="0"/>
        <v>-6972</v>
      </c>
      <c r="F39" s="19">
        <f t="shared" si="1"/>
        <v>-25.604113110539846</v>
      </c>
    </row>
    <row r="40" spans="1:6" ht="15.95" customHeight="1">
      <c r="A40" s="12" t="s">
        <v>44</v>
      </c>
      <c r="B40" s="16">
        <v>381991</v>
      </c>
      <c r="C40" s="16">
        <v>15894</v>
      </c>
      <c r="D40" s="15">
        <v>20854</v>
      </c>
      <c r="E40" s="20">
        <f t="shared" si="0"/>
        <v>-4960</v>
      </c>
      <c r="F40" s="19">
        <f t="shared" si="1"/>
        <v>-12.984599113591681</v>
      </c>
    </row>
    <row r="41" spans="1:6" ht="15.95" customHeight="1">
      <c r="A41" s="12" t="s">
        <v>45</v>
      </c>
      <c r="B41" s="16">
        <v>1452458</v>
      </c>
      <c r="C41" s="16">
        <v>37960</v>
      </c>
      <c r="D41" s="15">
        <v>36622</v>
      </c>
      <c r="E41" s="20">
        <f t="shared" si="0"/>
        <v>1338</v>
      </c>
      <c r="F41" s="19">
        <f t="shared" si="1"/>
        <v>0.92119703289182897</v>
      </c>
    </row>
    <row r="42" spans="1:6" ht="15.95" customHeight="1">
      <c r="A42" s="12" t="s">
        <v>46</v>
      </c>
      <c r="B42" s="16">
        <v>379031</v>
      </c>
      <c r="C42" s="16">
        <v>15265</v>
      </c>
      <c r="D42" s="15">
        <v>14128</v>
      </c>
      <c r="E42" s="20">
        <f t="shared" si="0"/>
        <v>1137</v>
      </c>
      <c r="F42" s="19">
        <f t="shared" si="1"/>
        <v>2.9997546374834778</v>
      </c>
    </row>
    <row r="43" spans="1:6" ht="15.95" customHeight="1">
      <c r="A43" s="12" t="s">
        <v>47</v>
      </c>
      <c r="B43" s="16">
        <v>244546</v>
      </c>
      <c r="C43" s="16">
        <v>11390</v>
      </c>
      <c r="D43" s="15">
        <v>12511</v>
      </c>
      <c r="E43" s="20">
        <f t="shared" si="0"/>
        <v>-1121</v>
      </c>
      <c r="F43" s="19">
        <f t="shared" si="1"/>
        <v>-4.5840046453427981</v>
      </c>
    </row>
    <row r="44" spans="1:6" ht="15.95" customHeight="1">
      <c r="A44" s="12" t="s">
        <v>48</v>
      </c>
      <c r="B44" s="16">
        <v>2130006</v>
      </c>
      <c r="C44" s="16">
        <v>80804</v>
      </c>
      <c r="D44" s="15">
        <v>63593</v>
      </c>
      <c r="E44" s="20">
        <f t="shared" si="0"/>
        <v>17211</v>
      </c>
      <c r="F44" s="19">
        <f t="shared" si="1"/>
        <v>8.0802589288480888</v>
      </c>
    </row>
    <row r="45" spans="1:6" ht="15.95" customHeight="1">
      <c r="A45" s="12" t="s">
        <v>49</v>
      </c>
      <c r="B45" s="16">
        <v>2330024</v>
      </c>
      <c r="C45" s="16">
        <v>53971</v>
      </c>
      <c r="D45" s="15">
        <v>56234</v>
      </c>
      <c r="E45" s="20">
        <f t="shared" si="0"/>
        <v>-2263</v>
      </c>
      <c r="F45" s="19">
        <f t="shared" si="1"/>
        <v>-0.97123463105959418</v>
      </c>
    </row>
    <row r="46" spans="1:6" ht="15.95" customHeight="1">
      <c r="A46" s="12" t="s">
        <v>50</v>
      </c>
      <c r="B46" s="16">
        <v>571078</v>
      </c>
      <c r="C46" s="16">
        <v>18364</v>
      </c>
      <c r="D46" s="15">
        <v>20502</v>
      </c>
      <c r="E46" s="20">
        <f t="shared" si="0"/>
        <v>-2138</v>
      </c>
      <c r="F46" s="19">
        <f t="shared" si="1"/>
        <v>-3.7437968193486704</v>
      </c>
    </row>
    <row r="47" spans="1:6" ht="15.95" customHeight="1">
      <c r="A47" s="12" t="s">
        <v>51</v>
      </c>
      <c r="B47" s="16">
        <v>750491</v>
      </c>
      <c r="C47" s="16">
        <v>36932</v>
      </c>
      <c r="D47" s="15">
        <v>31790</v>
      </c>
      <c r="E47" s="20">
        <f t="shared" si="0"/>
        <v>5142</v>
      </c>
      <c r="F47" s="19">
        <f t="shared" si="1"/>
        <v>6.8515145418132928</v>
      </c>
    </row>
    <row r="48" spans="1:6" ht="15.95" customHeight="1">
      <c r="A48" s="12" t="s">
        <v>52</v>
      </c>
      <c r="B48" s="16">
        <v>1475353</v>
      </c>
      <c r="C48" s="16">
        <v>37649</v>
      </c>
      <c r="D48" s="15">
        <v>37328</v>
      </c>
      <c r="E48" s="20">
        <f t="shared" si="0"/>
        <v>321</v>
      </c>
      <c r="F48" s="19">
        <f t="shared" si="1"/>
        <v>0.21757504814102116</v>
      </c>
    </row>
    <row r="49" spans="1:6" ht="15.95" customHeight="1">
      <c r="A49" s="12" t="s">
        <v>53</v>
      </c>
      <c r="B49" s="16">
        <v>1134105</v>
      </c>
      <c r="C49" s="16">
        <v>37523</v>
      </c>
      <c r="D49" s="15">
        <v>30393</v>
      </c>
      <c r="E49" s="20">
        <f t="shared" si="0"/>
        <v>7130</v>
      </c>
      <c r="F49" s="19">
        <f t="shared" si="1"/>
        <v>6.2868958341599761</v>
      </c>
    </row>
    <row r="50" spans="1:6" ht="15.95" customHeight="1">
      <c r="A50" s="12" t="s">
        <v>54</v>
      </c>
      <c r="B50" s="16">
        <v>895911</v>
      </c>
      <c r="C50" s="16">
        <v>26712</v>
      </c>
      <c r="D50" s="15">
        <v>31788</v>
      </c>
      <c r="E50" s="20">
        <f t="shared" si="0"/>
        <v>-5076</v>
      </c>
      <c r="F50" s="19">
        <f t="shared" si="1"/>
        <v>-5.6657413515404995</v>
      </c>
    </row>
    <row r="51" spans="1:6" ht="15.95" customHeight="1">
      <c r="A51" s="12" t="s">
        <v>55</v>
      </c>
      <c r="B51" s="16">
        <v>1081867</v>
      </c>
      <c r="C51" s="16">
        <v>48895</v>
      </c>
      <c r="D51" s="15">
        <v>36378</v>
      </c>
      <c r="E51" s="20">
        <f t="shared" si="0"/>
        <v>12517</v>
      </c>
      <c r="F51" s="19">
        <f t="shared" si="1"/>
        <v>11.569814034442311</v>
      </c>
    </row>
    <row r="52" spans="1:6" ht="15.95" customHeight="1">
      <c r="A52" s="12" t="s">
        <v>56</v>
      </c>
      <c r="B52" s="16">
        <v>392301</v>
      </c>
      <c r="C52" s="16">
        <v>12009</v>
      </c>
      <c r="D52" s="15">
        <v>22879</v>
      </c>
      <c r="E52" s="20">
        <f t="shared" si="0"/>
        <v>-10870</v>
      </c>
      <c r="F52" s="19">
        <f t="shared" si="1"/>
        <v>-27.708315808524578</v>
      </c>
    </row>
    <row r="53" spans="1:6" ht="15.95" customHeight="1">
      <c r="A53" s="12" t="s">
        <v>57</v>
      </c>
      <c r="B53" s="16">
        <v>317952</v>
      </c>
      <c r="C53" s="16">
        <v>14417</v>
      </c>
      <c r="D53" s="15">
        <v>13133</v>
      </c>
      <c r="E53" s="20">
        <f t="shared" si="0"/>
        <v>1284</v>
      </c>
      <c r="F53" s="19">
        <f t="shared" si="1"/>
        <v>4.0383454106280192</v>
      </c>
    </row>
    <row r="54" spans="1:6" ht="15.95" customHeight="1">
      <c r="A54" s="12" t="s">
        <v>58</v>
      </c>
      <c r="B54" s="16">
        <v>372708</v>
      </c>
      <c r="C54" s="16">
        <v>13271</v>
      </c>
      <c r="D54" s="15">
        <v>18496</v>
      </c>
      <c r="E54" s="20">
        <f t="shared" si="0"/>
        <v>-5225</v>
      </c>
      <c r="F54" s="19">
        <f t="shared" si="1"/>
        <v>-14.019017568713309</v>
      </c>
    </row>
    <row r="55" spans="1:6" ht="15.95" customHeight="1">
      <c r="A55" s="12" t="s">
        <v>59</v>
      </c>
      <c r="B55" s="16">
        <v>770711</v>
      </c>
      <c r="C55" s="16">
        <v>24324</v>
      </c>
      <c r="D55" s="15">
        <v>29933</v>
      </c>
      <c r="E55" s="20">
        <f t="shared" si="0"/>
        <v>-5609</v>
      </c>
      <c r="F55" s="19">
        <f t="shared" si="1"/>
        <v>-7.2776955304906767</v>
      </c>
    </row>
    <row r="56" spans="1:6" ht="15.95" customHeight="1">
      <c r="A56" s="12" t="s">
        <v>60</v>
      </c>
      <c r="B56" s="16">
        <v>346977</v>
      </c>
      <c r="C56" s="16">
        <v>13448</v>
      </c>
      <c r="D56" s="15">
        <v>17592</v>
      </c>
      <c r="E56" s="20">
        <f t="shared" si="0"/>
        <v>-4144</v>
      </c>
      <c r="F56" s="19">
        <f t="shared" si="1"/>
        <v>-11.943154733599057</v>
      </c>
    </row>
    <row r="57" spans="1:6" ht="15.95" customHeight="1">
      <c r="A57" s="12" t="s">
        <v>61</v>
      </c>
      <c r="B57" s="16">
        <v>1110735</v>
      </c>
      <c r="C57" s="16">
        <v>37116</v>
      </c>
      <c r="D57" s="15">
        <v>30501</v>
      </c>
      <c r="E57" s="20">
        <f t="shared" si="0"/>
        <v>6615</v>
      </c>
      <c r="F57" s="19">
        <f t="shared" si="1"/>
        <v>5.9555159421464161</v>
      </c>
    </row>
    <row r="58" spans="1:6" ht="15.95" customHeight="1">
      <c r="A58" s="12" t="s">
        <v>62</v>
      </c>
      <c r="B58" s="16">
        <v>1382376</v>
      </c>
      <c r="C58" s="16">
        <v>46841</v>
      </c>
      <c r="D58" s="15">
        <v>43246</v>
      </c>
      <c r="E58" s="20">
        <f t="shared" si="0"/>
        <v>3595</v>
      </c>
      <c r="F58" s="19">
        <f t="shared" si="1"/>
        <v>2.6005949177358403</v>
      </c>
    </row>
    <row r="59" spans="1:6" ht="15.95" customHeight="1">
      <c r="A59" s="12" t="s">
        <v>63</v>
      </c>
      <c r="B59" s="16">
        <v>336453</v>
      </c>
      <c r="C59" s="16">
        <v>10193</v>
      </c>
      <c r="D59" s="15">
        <v>21815</v>
      </c>
      <c r="E59" s="20">
        <f t="shared" si="0"/>
        <v>-11622</v>
      </c>
      <c r="F59" s="19">
        <f t="shared" si="1"/>
        <v>-34.542714732815583</v>
      </c>
    </row>
    <row r="60" spans="1:6" ht="15.95" customHeight="1">
      <c r="A60" s="12" t="s">
        <v>64</v>
      </c>
      <c r="B60" s="16">
        <v>226957</v>
      </c>
      <c r="C60" s="16">
        <v>10903</v>
      </c>
      <c r="D60" s="15">
        <v>13075</v>
      </c>
      <c r="E60" s="20">
        <f t="shared" si="0"/>
        <v>-2172</v>
      </c>
      <c r="F60" s="19">
        <f t="shared" si="1"/>
        <v>-9.5700947756623496</v>
      </c>
    </row>
    <row r="61" spans="1:6" ht="15.95" customHeight="1">
      <c r="A61" s="12" t="s">
        <v>65</v>
      </c>
      <c r="B61" s="16">
        <v>637007</v>
      </c>
      <c r="C61" s="16">
        <v>21808</v>
      </c>
      <c r="D61" s="15">
        <v>35421</v>
      </c>
      <c r="E61" s="20">
        <f t="shared" si="0"/>
        <v>-13613</v>
      </c>
      <c r="F61" s="19">
        <f t="shared" si="1"/>
        <v>-21.370251818268873</v>
      </c>
    </row>
    <row r="62" spans="1:6" ht="15.95" customHeight="1">
      <c r="A62" s="12" t="s">
        <v>66</v>
      </c>
      <c r="B62" s="16">
        <v>1187162</v>
      </c>
      <c r="C62" s="16">
        <v>53439</v>
      </c>
      <c r="D62" s="15">
        <v>37996</v>
      </c>
      <c r="E62" s="20">
        <f t="shared" si="0"/>
        <v>15443</v>
      </c>
      <c r="F62" s="19">
        <f t="shared" si="1"/>
        <v>13.00833416163927</v>
      </c>
    </row>
    <row r="63" spans="1:6" ht="15.95" customHeight="1">
      <c r="A63" s="12" t="s">
        <v>67</v>
      </c>
      <c r="B63" s="16">
        <v>612674</v>
      </c>
      <c r="C63" s="16">
        <v>38697</v>
      </c>
      <c r="D63" s="15">
        <v>32350</v>
      </c>
      <c r="E63" s="20">
        <f t="shared" si="0"/>
        <v>6347</v>
      </c>
      <c r="F63" s="19">
        <f t="shared" si="1"/>
        <v>10.359506034204161</v>
      </c>
    </row>
    <row r="64" spans="1:6" ht="15.95" customHeight="1">
      <c r="A64" s="12" t="s">
        <v>68</v>
      </c>
      <c r="B64" s="16">
        <v>822270</v>
      </c>
      <c r="C64" s="16">
        <v>26772</v>
      </c>
      <c r="D64" s="15">
        <v>29887</v>
      </c>
      <c r="E64" s="20">
        <f t="shared" si="0"/>
        <v>-3115</v>
      </c>
      <c r="F64" s="19">
        <f t="shared" si="1"/>
        <v>-3.7882933829520717</v>
      </c>
    </row>
    <row r="65" spans="1:6" ht="15.95" customHeight="1">
      <c r="A65" s="12" t="s">
        <v>69</v>
      </c>
      <c r="B65" s="16">
        <v>86612</v>
      </c>
      <c r="C65" s="16">
        <v>6739</v>
      </c>
      <c r="D65" s="15">
        <v>8868</v>
      </c>
      <c r="E65" s="20">
        <f t="shared" si="0"/>
        <v>-2129</v>
      </c>
      <c r="F65" s="19">
        <f t="shared" si="1"/>
        <v>-24.580889484136147</v>
      </c>
    </row>
    <row r="66" spans="1:6" ht="15.95" customHeight="1">
      <c r="A66" s="12" t="s">
        <v>70</v>
      </c>
      <c r="B66" s="16">
        <v>2237745</v>
      </c>
      <c r="C66" s="16">
        <v>41771</v>
      </c>
      <c r="D66" s="15">
        <v>60925</v>
      </c>
      <c r="E66" s="20">
        <f t="shared" si="0"/>
        <v>-19154</v>
      </c>
      <c r="F66" s="19">
        <f t="shared" si="1"/>
        <v>-8.5595096849730421</v>
      </c>
    </row>
    <row r="67" spans="1:6" ht="15.95" customHeight="1">
      <c r="A67" s="12" t="s">
        <v>71</v>
      </c>
      <c r="B67" s="17">
        <v>375310</v>
      </c>
      <c r="C67" s="17">
        <v>11053</v>
      </c>
      <c r="D67" s="15">
        <v>11886</v>
      </c>
      <c r="E67" s="20">
        <f t="shared" si="0"/>
        <v>-833</v>
      </c>
      <c r="F67" s="19">
        <f t="shared" si="1"/>
        <v>-2.2194985478670968</v>
      </c>
    </row>
    <row r="68" spans="1:6" ht="15.95" customHeight="1">
      <c r="A68" s="12" t="s">
        <v>72</v>
      </c>
      <c r="B68" s="17">
        <v>1118087</v>
      </c>
      <c r="C68" s="17">
        <v>31418</v>
      </c>
      <c r="D68" s="15">
        <v>54023</v>
      </c>
      <c r="E68" s="20">
        <f t="shared" si="0"/>
        <v>-22605</v>
      </c>
      <c r="F68" s="19">
        <f t="shared" si="1"/>
        <v>-20.217568042558405</v>
      </c>
    </row>
    <row r="69" spans="1:6" ht="15.95" customHeight="1">
      <c r="A69" s="12" t="s">
        <v>73</v>
      </c>
      <c r="B69" s="17">
        <v>413161</v>
      </c>
      <c r="C69" s="17">
        <v>16151</v>
      </c>
      <c r="D69" s="17">
        <v>24594</v>
      </c>
      <c r="E69" s="20">
        <f t="shared" ref="E69:E84" si="2">C69-D69</f>
        <v>-8443</v>
      </c>
      <c r="F69" s="19">
        <f t="shared" ref="F69:F84" si="3">(E69/B69)*1000</f>
        <v>-20.435133035305849</v>
      </c>
    </row>
    <row r="70" spans="1:6" ht="15.95" customHeight="1">
      <c r="A70" s="12" t="s">
        <v>74</v>
      </c>
      <c r="B70" s="17">
        <v>586802</v>
      </c>
      <c r="C70" s="17">
        <v>18070</v>
      </c>
      <c r="D70" s="17">
        <v>21563</v>
      </c>
      <c r="E70" s="20">
        <f t="shared" si="2"/>
        <v>-3493</v>
      </c>
      <c r="F70" s="19">
        <f t="shared" si="3"/>
        <v>-5.9526041151870652</v>
      </c>
    </row>
    <row r="71" spans="1:6" ht="15.95" customHeight="1">
      <c r="A71" s="12" t="s">
        <v>75</v>
      </c>
      <c r="B71" s="17">
        <v>439474</v>
      </c>
      <c r="C71" s="17">
        <v>13969</v>
      </c>
      <c r="D71" s="17">
        <v>14893</v>
      </c>
      <c r="E71" s="20">
        <f t="shared" si="2"/>
        <v>-924</v>
      </c>
      <c r="F71" s="19">
        <f t="shared" si="3"/>
        <v>-2.102513459271766</v>
      </c>
    </row>
    <row r="72" spans="1:6" ht="15.95" customHeight="1">
      <c r="A72" s="12" t="s">
        <v>76</v>
      </c>
      <c r="B72" s="17">
        <v>83676</v>
      </c>
      <c r="C72" s="17">
        <v>5644</v>
      </c>
      <c r="D72" s="17">
        <v>8639</v>
      </c>
      <c r="E72" s="20">
        <f t="shared" si="2"/>
        <v>-2995</v>
      </c>
      <c r="F72" s="19">
        <f t="shared" si="3"/>
        <v>-35.792819924470578</v>
      </c>
    </row>
    <row r="73" spans="1:6" ht="15.95" customHeight="1">
      <c r="A73" s="12" t="s">
        <v>77</v>
      </c>
      <c r="B73" s="17">
        <v>262791</v>
      </c>
      <c r="C73" s="17">
        <v>10319</v>
      </c>
      <c r="D73" s="17">
        <v>11846</v>
      </c>
      <c r="E73" s="20">
        <f t="shared" si="2"/>
        <v>-1527</v>
      </c>
      <c r="F73" s="19">
        <f t="shared" si="3"/>
        <v>-5.8107012797241913</v>
      </c>
    </row>
    <row r="74" spans="1:6" ht="15.95" customHeight="1">
      <c r="A74" s="12" t="s">
        <v>78</v>
      </c>
      <c r="B74" s="17">
        <v>283053</v>
      </c>
      <c r="C74" s="17">
        <v>13584</v>
      </c>
      <c r="D74" s="17">
        <v>16881</v>
      </c>
      <c r="E74" s="20">
        <f t="shared" si="2"/>
        <v>-3297</v>
      </c>
      <c r="F74" s="19">
        <f t="shared" si="3"/>
        <v>-11.647995251772636</v>
      </c>
    </row>
    <row r="75" spans="1:6" ht="15.95" customHeight="1">
      <c r="A75" s="12" t="s">
        <v>79</v>
      </c>
      <c r="B75" s="17">
        <v>654528</v>
      </c>
      <c r="C75" s="17">
        <v>20987</v>
      </c>
      <c r="D75" s="17">
        <v>22923</v>
      </c>
      <c r="E75" s="20">
        <f t="shared" si="2"/>
        <v>-1936</v>
      </c>
      <c r="F75" s="19">
        <f t="shared" si="3"/>
        <v>-2.9578566539552162</v>
      </c>
    </row>
    <row r="76" spans="1:6" ht="15.95" customHeight="1">
      <c r="A76" s="12" t="s">
        <v>80</v>
      </c>
      <c r="B76" s="17">
        <v>570826</v>
      </c>
      <c r="C76" s="17">
        <v>15266</v>
      </c>
      <c r="D76" s="17">
        <v>23363</v>
      </c>
      <c r="E76" s="20">
        <f t="shared" si="2"/>
        <v>-8097</v>
      </c>
      <c r="F76" s="19">
        <f t="shared" si="3"/>
        <v>-14.18470777434805</v>
      </c>
    </row>
    <row r="77" spans="1:6" ht="15.95" customHeight="1">
      <c r="A77" s="12" t="s">
        <v>81</v>
      </c>
      <c r="B77" s="17">
        <v>206715</v>
      </c>
      <c r="C77" s="17">
        <v>9439</v>
      </c>
      <c r="D77" s="17">
        <v>9569</v>
      </c>
      <c r="E77" s="20">
        <f t="shared" si="2"/>
        <v>-130</v>
      </c>
      <c r="F77" s="19">
        <f t="shared" si="3"/>
        <v>-0.62888518007885263</v>
      </c>
    </row>
    <row r="78" spans="1:6" ht="15.95" customHeight="1">
      <c r="A78" s="12" t="s">
        <v>82</v>
      </c>
      <c r="B78" s="17">
        <v>91354</v>
      </c>
      <c r="C78" s="17">
        <v>4570</v>
      </c>
      <c r="D78" s="17">
        <v>6441</v>
      </c>
      <c r="E78" s="20">
        <f t="shared" si="2"/>
        <v>-1871</v>
      </c>
      <c r="F78" s="19">
        <f t="shared" si="3"/>
        <v>-20.480767125686889</v>
      </c>
    </row>
    <row r="79" spans="1:6" ht="15.95" customHeight="1">
      <c r="A79" s="12" t="s">
        <v>83</v>
      </c>
      <c r="B79" s="17">
        <v>206857</v>
      </c>
      <c r="C79" s="17">
        <v>8000</v>
      </c>
      <c r="D79" s="17">
        <v>11778</v>
      </c>
      <c r="E79" s="20">
        <f t="shared" si="2"/>
        <v>-3778</v>
      </c>
      <c r="F79" s="19">
        <f t="shared" si="3"/>
        <v>-18.263824767834784</v>
      </c>
    </row>
    <row r="80" spans="1:6" ht="15.95" customHeight="1">
      <c r="A80" s="12" t="s">
        <v>84</v>
      </c>
      <c r="B80" s="17">
        <v>307882</v>
      </c>
      <c r="C80" s="17">
        <v>17812</v>
      </c>
      <c r="D80" s="17">
        <v>13049</v>
      </c>
      <c r="E80" s="20">
        <f t="shared" si="2"/>
        <v>4763</v>
      </c>
      <c r="F80" s="19">
        <f t="shared" si="3"/>
        <v>15.470212613923517</v>
      </c>
    </row>
    <row r="81" spans="1:6" ht="15.95" customHeight="1">
      <c r="A81" s="12" t="s">
        <v>85</v>
      </c>
      <c r="B81" s="17">
        <v>250478</v>
      </c>
      <c r="C81" s="17">
        <v>10481</v>
      </c>
      <c r="D81" s="17">
        <v>14090</v>
      </c>
      <c r="E81" s="20">
        <f t="shared" si="2"/>
        <v>-3609</v>
      </c>
      <c r="F81" s="19">
        <f t="shared" si="3"/>
        <v>-14.408451041608446</v>
      </c>
    </row>
    <row r="82" spans="1:6" ht="15.95" customHeight="1">
      <c r="A82" s="12" t="s">
        <v>86</v>
      </c>
      <c r="B82" s="17">
        <v>156739</v>
      </c>
      <c r="C82" s="17">
        <v>7503</v>
      </c>
      <c r="D82" s="17">
        <v>8041</v>
      </c>
      <c r="E82" s="20">
        <f t="shared" si="2"/>
        <v>-538</v>
      </c>
      <c r="F82" s="19">
        <f t="shared" si="3"/>
        <v>-3.4324577801313012</v>
      </c>
    </row>
    <row r="83" spans="1:6" ht="15.95" customHeight="1">
      <c r="A83" s="12" t="s">
        <v>87</v>
      </c>
      <c r="B83" s="17">
        <v>561061</v>
      </c>
      <c r="C83" s="17">
        <v>19752</v>
      </c>
      <c r="D83" s="17">
        <v>20460</v>
      </c>
      <c r="E83" s="20">
        <f t="shared" si="2"/>
        <v>-708</v>
      </c>
      <c r="F83" s="19">
        <f t="shared" si="3"/>
        <v>-1.2618948741758917</v>
      </c>
    </row>
    <row r="84" spans="1:6" ht="15.95" customHeight="1">
      <c r="A84" s="12" t="s">
        <v>88</v>
      </c>
      <c r="B84" s="17">
        <v>412344</v>
      </c>
      <c r="C84" s="17">
        <v>15051</v>
      </c>
      <c r="D84" s="17">
        <v>13450</v>
      </c>
      <c r="E84" s="20">
        <f t="shared" si="2"/>
        <v>1601</v>
      </c>
      <c r="F84" s="19">
        <f t="shared" si="3"/>
        <v>3.8826804803756088</v>
      </c>
    </row>
    <row r="85" spans="1:6" ht="14.1" customHeight="1">
      <c r="A85" s="4"/>
      <c r="B85" s="3"/>
      <c r="C85" s="3"/>
      <c r="D85" s="3"/>
      <c r="E85" s="1"/>
      <c r="F85" s="2"/>
    </row>
    <row r="86" spans="1:6" ht="14.1" customHeight="1">
      <c r="A86" s="5"/>
      <c r="B86" s="3"/>
      <c r="C86" s="3"/>
      <c r="D86" s="3"/>
      <c r="E86" s="1"/>
      <c r="F86" s="2"/>
    </row>
    <row r="87" spans="1:6" ht="14.1" customHeight="1">
      <c r="A87" s="7"/>
    </row>
    <row r="88" spans="1:6" ht="14.1" customHeight="1">
      <c r="A88" s="8"/>
    </row>
  </sheetData>
  <mergeCells count="1">
    <mergeCell ref="A1:F1"/>
  </mergeCells>
  <conditionalFormatting sqref="C4:C84">
    <cfRule type="cellIs" dxfId="11" priority="3" operator="greaterThan">
      <formula>AVERAGE($C$4:$C$84)</formula>
    </cfRule>
  </conditionalFormatting>
  <conditionalFormatting sqref="D4:D84">
    <cfRule type="cellIs" dxfId="10" priority="2" operator="lessThan">
      <formula>AVERAGE($D$4:$D$84)</formula>
    </cfRule>
  </conditionalFormatting>
  <conditionalFormatting sqref="E4:E84">
    <cfRule type="top10" dxfId="9" priority="1" rank="10"/>
  </conditionalFormatting>
  <pageMargins left="0.86614173228346458" right="0.86614173228346458" top="0.78740157480314965" bottom="0.78740157480314965" header="0.11811023622047245" footer="0.11811023622047245"/>
  <pageSetup paperSize="9" scale="95" orientation="portrait"/>
  <headerFooter>
    <oddFooter>&amp;R&amp;P/&amp;N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615D-E4C5-455D-88A2-19974662FED9}">
  <dimension ref="A1:B5"/>
  <sheetViews>
    <sheetView tabSelected="1" workbookViewId="0">
      <selection activeCell="B6" sqref="B6"/>
    </sheetView>
  </sheetViews>
  <sheetFormatPr defaultRowHeight="15"/>
  <cols>
    <col min="1" max="1" width="19.42578125" bestFit="1" customWidth="1"/>
    <col min="2" max="2" width="19.5703125" customWidth="1"/>
  </cols>
  <sheetData>
    <row r="1" spans="1:2">
      <c r="A1" s="21" t="s">
        <v>89</v>
      </c>
      <c r="B1" s="22">
        <f>SUM('Göç bilgisi'!B4:B84)</f>
        <v>85664944</v>
      </c>
    </row>
    <row r="2" spans="1:2">
      <c r="A2" s="23" t="s">
        <v>90</v>
      </c>
      <c r="B2" s="24">
        <f>SUM('Göç bilgisi'!D4:D84)</f>
        <v>2682673</v>
      </c>
    </row>
    <row r="3" spans="1:2">
      <c r="A3" s="21" t="s">
        <v>91</v>
      </c>
      <c r="B3" s="22">
        <f>SUM('Göç bilgisi'!C4:C84)</f>
        <v>2682673</v>
      </c>
    </row>
    <row r="4" spans="1:2" ht="28.5">
      <c r="A4" s="23" t="s">
        <v>92</v>
      </c>
      <c r="B4" s="24">
        <f>AVERAGE('Göç bilgisi'!C4:C84)</f>
        <v>33119.419753086418</v>
      </c>
    </row>
    <row r="5" spans="1:2" ht="28.5">
      <c r="A5" s="21" t="s">
        <v>93</v>
      </c>
      <c r="B5" s="22">
        <f>AVERAGE('Göç bilgisi'!D4:D84)</f>
        <v>33119.419753086418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2022-09-30T13:57:14Z</dcterms:created>
  <dcterms:modified xsi:type="dcterms:W3CDTF">2026-06-02T19:18:11Z</dcterms:modified>
  <cp:category/>
  <cp:contentStatus/>
</cp:coreProperties>
</file>